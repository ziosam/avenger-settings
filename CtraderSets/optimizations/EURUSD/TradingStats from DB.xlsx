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avenger-settings\CtraderSets\optimizations\EURUSD\"/>
    </mc:Choice>
  </mc:AlternateContent>
  <xr:revisionPtr revIDLastSave="0" documentId="13_ncr:1_{F759A428-9473-48BA-9B3F-E0267AA4D5C0}" xr6:coauthVersionLast="47" xr6:coauthVersionMax="47" xr10:uidLastSave="{00000000-0000-0000-0000-000000000000}"/>
  <bookViews>
    <workbookView xWindow="20280" yWindow="2664" windowWidth="23040" windowHeight="12120" activeTab="1" xr2:uid="{FD0BAEDE-FF71-4158-87F1-0E3227CDD8FC}"/>
  </bookViews>
  <sheets>
    <sheet name="RUN3 - Profit Helper" sheetId="1" r:id="rId1"/>
    <sheet name="RUN4 - Profit Help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C9" i="2"/>
  <c r="C3" i="2"/>
  <c r="C4" i="2"/>
  <c r="C5" i="2"/>
  <c r="C6" i="2"/>
  <c r="C7" i="2"/>
  <c r="C8" i="2"/>
  <c r="C2" i="2"/>
  <c r="B9" i="2"/>
  <c r="B9" i="1"/>
</calcChain>
</file>

<file path=xl/sharedStrings.xml><?xml version="1.0" encoding="utf-8"?>
<sst xmlns="http://schemas.openxmlformats.org/spreadsheetml/2006/main" count="23" uniqueCount="13">
  <si>
    <t>ClosingReason</t>
  </si>
  <si>
    <t>Closed by DDR as profitable position</t>
  </si>
  <si>
    <t>Closed by DDR as target position with loss</t>
  </si>
  <si>
    <t>Closed by Profit Helper - Partial profit</t>
  </si>
  <si>
    <t>Closed by Profit Helper - Trailing stop</t>
  </si>
  <si>
    <t>Partially closed by DDR as target position with loss</t>
  </si>
  <si>
    <t>Take profit reached</t>
  </si>
  <si>
    <t>Closed because cannot set the TP,  as price is already better.</t>
  </si>
  <si>
    <t>Profitto totale</t>
  </si>
  <si>
    <t># pos</t>
  </si>
  <si>
    <t>Profitto/pos</t>
  </si>
  <si>
    <t>Closed because cannot set the TP, as price is already better.</t>
  </si>
  <si>
    <t>vs 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</si>
</sst>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([$€-2]\ * #,##0.00_);_([$€-2]\ * \(#,##0.00\);_([$€-2]\ 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8" fontId="0" fillId="0" borderId="0" xfId="0" applyNumberFormat="1"/>
    <xf numFmtId="168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FABF-FA3E-466F-B99C-FC7DD795FE56}">
  <dimension ref="A1:D9"/>
  <sheetViews>
    <sheetView workbookViewId="0">
      <selection activeCell="D2" sqref="D2"/>
    </sheetView>
  </sheetViews>
  <sheetFormatPr defaultRowHeight="14.4" x14ac:dyDescent="0.3"/>
  <cols>
    <col min="1" max="1" width="49.77734375" bestFit="1" customWidth="1"/>
    <col min="2" max="2" width="21.5546875" bestFit="1" customWidth="1"/>
    <col min="3" max="3" width="8" bestFit="1" customWidth="1"/>
    <col min="4" max="4" width="12.6640625" bestFit="1" customWidth="1"/>
    <col min="5" max="5" width="5" bestFit="1" customWidth="1"/>
  </cols>
  <sheetData>
    <row r="1" spans="1:4" x14ac:dyDescent="0.3">
      <c r="A1" s="3" t="s">
        <v>0</v>
      </c>
      <c r="B1" s="3" t="s">
        <v>8</v>
      </c>
      <c r="C1" s="3" t="s">
        <v>9</v>
      </c>
      <c r="D1" s="3" t="s">
        <v>10</v>
      </c>
    </row>
    <row r="2" spans="1:4" x14ac:dyDescent="0.3">
      <c r="A2" t="s">
        <v>7</v>
      </c>
      <c r="B2" s="1">
        <v>5.26</v>
      </c>
      <c r="C2">
        <v>1</v>
      </c>
      <c r="D2" s="1">
        <v>5.26</v>
      </c>
    </row>
    <row r="3" spans="1:4" x14ac:dyDescent="0.3">
      <c r="A3" t="s">
        <v>1</v>
      </c>
      <c r="B3" s="1">
        <v>960.34</v>
      </c>
      <c r="C3">
        <v>57</v>
      </c>
      <c r="D3" s="1">
        <v>16.848070175438501</v>
      </c>
    </row>
    <row r="4" spans="1:4" x14ac:dyDescent="0.3">
      <c r="A4" t="s">
        <v>2</v>
      </c>
      <c r="B4" s="1">
        <v>-570.91</v>
      </c>
      <c r="C4">
        <v>21</v>
      </c>
      <c r="D4" s="1">
        <v>-27.186190476190401</v>
      </c>
    </row>
    <row r="5" spans="1:4" x14ac:dyDescent="0.3">
      <c r="A5" t="s">
        <v>3</v>
      </c>
      <c r="B5" s="1">
        <v>154.38</v>
      </c>
      <c r="C5">
        <v>17</v>
      </c>
      <c r="D5" s="1">
        <v>9.0811764705882307</v>
      </c>
    </row>
    <row r="6" spans="1:4" x14ac:dyDescent="0.3">
      <c r="A6" t="s">
        <v>4</v>
      </c>
      <c r="B6" s="1">
        <v>244.54</v>
      </c>
      <c r="C6">
        <v>289</v>
      </c>
      <c r="D6" s="1">
        <v>0.84615916955017301</v>
      </c>
    </row>
    <row r="7" spans="1:4" x14ac:dyDescent="0.3">
      <c r="A7" t="s">
        <v>5</v>
      </c>
      <c r="B7" s="1">
        <v>-24.639999999999901</v>
      </c>
      <c r="C7">
        <v>1</v>
      </c>
      <c r="D7" s="1">
        <v>-24.639999999999901</v>
      </c>
    </row>
    <row r="8" spans="1:4" x14ac:dyDescent="0.3">
      <c r="A8" t="s">
        <v>6</v>
      </c>
      <c r="B8" s="1">
        <v>239.49</v>
      </c>
      <c r="C8">
        <v>48</v>
      </c>
      <c r="D8" s="1">
        <v>4.9893749999999999</v>
      </c>
    </row>
    <row r="9" spans="1:4" x14ac:dyDescent="0.3">
      <c r="B9" s="2">
        <f>SUM(B2:B8)</f>
        <v>1008.4600000000002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F39B-B563-44FE-81BD-5042FE91CD2C}">
  <dimension ref="A1:E10"/>
  <sheetViews>
    <sheetView tabSelected="1" workbookViewId="0">
      <selection activeCell="C2" sqref="C2"/>
    </sheetView>
  </sheetViews>
  <sheetFormatPr defaultRowHeight="14.4" x14ac:dyDescent="0.3"/>
  <cols>
    <col min="1" max="1" width="49.77734375" bestFit="1" customWidth="1"/>
    <col min="2" max="2" width="21.5546875" bestFit="1" customWidth="1"/>
    <col min="3" max="3" width="14.5546875" customWidth="1"/>
    <col min="4" max="4" width="8" bestFit="1" customWidth="1"/>
    <col min="5" max="5" width="12.6640625" bestFit="1" customWidth="1"/>
    <col min="6" max="6" width="5" bestFit="1" customWidth="1"/>
  </cols>
  <sheetData>
    <row r="1" spans="1:5" x14ac:dyDescent="0.3">
      <c r="A1" s="3" t="s">
        <v>0</v>
      </c>
      <c r="B1" s="3" t="s">
        <v>8</v>
      </c>
      <c r="C1" s="3" t="s">
        <v>12</v>
      </c>
      <c r="D1" s="3" t="s">
        <v>9</v>
      </c>
      <c r="E1" s="3" t="s">
        <v>10</v>
      </c>
    </row>
    <row r="2" spans="1:5" x14ac:dyDescent="0.3">
      <c r="A2" t="s">
        <v>11</v>
      </c>
      <c r="B2" s="1">
        <v>24.08</v>
      </c>
      <c r="C2" s="1">
        <f>B2-'RUN3 - Profit Helper'!B2</f>
        <v>18.82</v>
      </c>
      <c r="D2">
        <v>3</v>
      </c>
      <c r="E2" s="1">
        <v>8.0266666666666602</v>
      </c>
    </row>
    <row r="3" spans="1:5" x14ac:dyDescent="0.3">
      <c r="A3" t="s">
        <v>1</v>
      </c>
      <c r="B3" s="1">
        <v>1233.8599999999999</v>
      </c>
      <c r="C3" s="1">
        <f>B3-'RUN3 - Profit Helper'!B3</f>
        <v>273.51999999999987</v>
      </c>
      <c r="D3">
        <v>79</v>
      </c>
      <c r="E3" s="1">
        <v>15.618481012658201</v>
      </c>
    </row>
    <row r="4" spans="1:5" x14ac:dyDescent="0.3">
      <c r="A4" t="s">
        <v>2</v>
      </c>
      <c r="B4" s="1">
        <v>-659.71</v>
      </c>
      <c r="C4" s="1">
        <f>B4-'RUN3 - Profit Helper'!B4</f>
        <v>-88.800000000000068</v>
      </c>
      <c r="D4">
        <v>25</v>
      </c>
      <c r="E4" s="1">
        <v>-26.388400000000001</v>
      </c>
    </row>
    <row r="5" spans="1:5" x14ac:dyDescent="0.3">
      <c r="A5" t="s">
        <v>3</v>
      </c>
      <c r="B5" s="1">
        <v>67.680000000000007</v>
      </c>
      <c r="C5" s="1">
        <f>B5-'RUN3 - Profit Helper'!B5</f>
        <v>-86.699999999999989</v>
      </c>
      <c r="D5">
        <v>7</v>
      </c>
      <c r="E5" s="1">
        <v>9.6685714285714202</v>
      </c>
    </row>
    <row r="6" spans="1:5" x14ac:dyDescent="0.3">
      <c r="A6" t="s">
        <v>4</v>
      </c>
      <c r="B6" s="1">
        <v>225.19</v>
      </c>
      <c r="C6" s="1">
        <f>B6-'RUN3 - Profit Helper'!B6</f>
        <v>-19.349999999999994</v>
      </c>
      <c r="D6">
        <v>137</v>
      </c>
      <c r="E6" s="1">
        <v>1.6437226277372201</v>
      </c>
    </row>
    <row r="7" spans="1:5" x14ac:dyDescent="0.3">
      <c r="A7" t="s">
        <v>5</v>
      </c>
      <c r="B7" s="1">
        <v>-17.599999999999898</v>
      </c>
      <c r="C7" s="1">
        <f>B7-'RUN3 - Profit Helper'!B7</f>
        <v>7.0400000000000027</v>
      </c>
      <c r="D7">
        <v>1</v>
      </c>
      <c r="E7" s="1">
        <v>-17.599999999999898</v>
      </c>
    </row>
    <row r="8" spans="1:5" x14ac:dyDescent="0.3">
      <c r="A8" t="s">
        <v>6</v>
      </c>
      <c r="B8" s="1">
        <v>239.38</v>
      </c>
      <c r="C8" s="1">
        <f>B8-'RUN3 - Profit Helper'!B8</f>
        <v>-0.11000000000001364</v>
      </c>
      <c r="D8">
        <v>33</v>
      </c>
      <c r="E8" s="1">
        <v>7.2539393939393904</v>
      </c>
    </row>
    <row r="9" spans="1:5" x14ac:dyDescent="0.3">
      <c r="B9" s="2">
        <f>SUM(B2:B8)</f>
        <v>1112.8800000000001</v>
      </c>
      <c r="C9" s="1">
        <f>B9-'RUN3 - Profit Helper'!B9</f>
        <v>104.41999999999996</v>
      </c>
    </row>
    <row r="10" spans="1:5" x14ac:dyDescent="0.3">
      <c r="C10" s="4">
        <f>C9/B9</f>
        <v>9.3828624829271748E-2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RUN3 - Profit Helper</vt:lpstr>
      <vt:lpstr>RUN4 - Profit Helper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Fabrizio Sanmartino</dc:creator>
  <cp:lastModifiedBy>Fabrizio Sanmartino</cp:lastModifiedBy>
  <dcterms:created xsi:type="dcterms:W3CDTF">2025-10-07T13:56:21Z</dcterms:created>
  <dcterms:modified xsi:type="dcterms:W3CDTF">2025-10-07T16:46:30Z</dcterms:modified>
</cp:coreProperties>
</file>